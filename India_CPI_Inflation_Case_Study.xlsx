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ubham\Downloads\0000000000012561 (1)\"/>
    </mc:Choice>
  </mc:AlternateContent>
  <xr:revisionPtr revIDLastSave="0" documentId="13_ncr:1_{552AE5E2-0895-43AC-A498-4CA2FC012D02}" xr6:coauthVersionLast="47" xr6:coauthVersionMax="47" xr10:uidLastSave="{00000000-0000-0000-0000-000000000000}"/>
  <bookViews>
    <workbookView xWindow="-108" yWindow="-108" windowWidth="23256" windowHeight="12576" activeTab="5" xr2:uid="{7E64E475-5B6F-0143-AB10-C1C9F19489D7}"/>
  </bookViews>
  <sheets>
    <sheet name="Lifecycle " sheetId="7" r:id="rId1"/>
    <sheet name="Objective" sheetId="3" r:id="rId2"/>
    <sheet name="Hygiene" sheetId="2" r:id="rId3"/>
    <sheet name="Main Data" sheetId="9" r:id="rId4"/>
    <sheet name="Notes" sheetId="4" r:id="rId5"/>
    <sheet name="Raw Data" sheetId="8" r:id="rId6"/>
  </sheets>
  <externalReferences>
    <externalReference r:id="rId7"/>
    <externalReference r:id="rId8"/>
    <externalReference r:id="rId9"/>
  </externalReferences>
  <definedNames>
    <definedName name="Admtype">'[1]Main Data'!$T$1:$T$10001</definedName>
    <definedName name="arth_diab">'[2]Main Data'!$H$1:$H$10001</definedName>
    <definedName name="Bill">'[3]Main Data'!$M$1:$M$10001</definedName>
    <definedName name="Bill_amt">'[1]Main Data'!$R$1:$R$10001</definedName>
    <definedName name="Billing_amt">'[2]Main Data'!$P$1:$P$10001</definedName>
    <definedName name="DyOfMonth">'[1]Main Data'!$K$1:$K$10001</definedName>
    <definedName name="Insurance">'[1]Main Data'!$Q$1:$Q$10001</definedName>
    <definedName name="Isurance">'[2]Main Data'!$O$1:$O$10001</definedName>
    <definedName name="Med_Con">'[2]Main Data'!$G$1:$G$10001</definedName>
    <definedName name="MedCon">'[1]Main Data'!$G$1:$G$10001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9" l="1"/>
  <c r="G13" i="9"/>
  <c r="G12" i="9"/>
  <c r="G11" i="9"/>
  <c r="G10" i="9"/>
  <c r="G9" i="9"/>
  <c r="G8" i="9"/>
  <c r="G7" i="9"/>
  <c r="G6" i="9"/>
  <c r="H5" i="9"/>
  <c r="G5" i="9"/>
  <c r="J43" i="7"/>
  <c r="A7" i="7"/>
  <c r="A9" i="7" s="1"/>
  <c r="A11" i="7" s="1"/>
  <c r="A13" i="7" s="1"/>
  <c r="A15" i="7" s="1"/>
  <c r="A17" i="7" s="1"/>
  <c r="A19" i="7" s="1"/>
  <c r="A21" i="7" s="1"/>
</calcChain>
</file>

<file path=xl/sharedStrings.xml><?xml version="1.0" encoding="utf-8"?>
<sst xmlns="http://schemas.openxmlformats.org/spreadsheetml/2006/main" count="304" uniqueCount="238">
  <si>
    <t xml:space="preserve">Few things to remember </t>
  </si>
  <si>
    <t xml:space="preserve">Analytics Numbers can be misleading </t>
  </si>
  <si>
    <t xml:space="preserve">Topic </t>
  </si>
  <si>
    <t xml:space="preserve">Details </t>
  </si>
  <si>
    <t xml:space="preserve">Clients </t>
  </si>
  <si>
    <t xml:space="preserve">Correlation &amp; Causation </t>
  </si>
  <si>
    <t xml:space="preserve">Version Control </t>
  </si>
  <si>
    <t>Always apply version control in the analysis file you work on</t>
  </si>
  <si>
    <t>v0.1</t>
  </si>
  <si>
    <t>v0.01 RJ</t>
  </si>
  <si>
    <t xml:space="preserve">Cherry Picking Data </t>
  </si>
  <si>
    <t xml:space="preserve">There are many people who generally work on one analysis </t>
  </si>
  <si>
    <t>v0.2</t>
  </si>
  <si>
    <t xml:space="preserve">v0.02 RJ </t>
  </si>
  <si>
    <t xml:space="preserve">Comparing Sales of AC in April vs March </t>
  </si>
  <si>
    <t xml:space="preserve">Correlation </t>
  </si>
  <si>
    <t xml:space="preserve">More children eat ice cream in summers </t>
  </si>
  <si>
    <t xml:space="preserve">People work over multiple days on one analysis </t>
  </si>
  <si>
    <t>v0.3</t>
  </si>
  <si>
    <t>v0.03 AV</t>
  </si>
  <si>
    <t xml:space="preserve">More children drown in summers </t>
  </si>
  <si>
    <t>Saves prior work on the data - if some formulas get broken</t>
  </si>
  <si>
    <t>v0.4</t>
  </si>
  <si>
    <t xml:space="preserve">v0.04 GN </t>
  </si>
  <si>
    <t xml:space="preserve">Misleading averages </t>
  </si>
  <si>
    <t xml:space="preserve">More children eat ice creame and drown in summers </t>
  </si>
  <si>
    <t xml:space="preserve">sharing </t>
  </si>
  <si>
    <t>v1</t>
  </si>
  <si>
    <t>Employee average salary is 10lac - when most earn 5 lac and the CEO earns 80 cr</t>
  </si>
  <si>
    <t>Notes</t>
  </si>
  <si>
    <t>Always have a tab to write your notes, assumptions, observations</t>
  </si>
  <si>
    <t>v1.1</t>
  </si>
  <si>
    <t xml:space="preserve">Causation </t>
  </si>
  <si>
    <t xml:space="preserve">More children drown in summers because they eat more ice cream </t>
  </si>
  <si>
    <t>v1.2</t>
  </si>
  <si>
    <t xml:space="preserve">Ignoring the baseline </t>
  </si>
  <si>
    <t xml:space="preserve">Quality </t>
  </si>
  <si>
    <t xml:space="preserve">Always check each and every formula you have applied to ensure the output makes sense </t>
  </si>
  <si>
    <t>v1.3</t>
  </si>
  <si>
    <t xml:space="preserve">Disease prevalence decreased 50% </t>
  </si>
  <si>
    <t>Misleading averages</t>
  </si>
  <si>
    <t xml:space="preserve">Prevents mistakes from propagating to next level of analysis </t>
  </si>
  <si>
    <t>v2</t>
  </si>
  <si>
    <t xml:space="preserve">0.2% -&gt; 0.1% </t>
  </si>
  <si>
    <t xml:space="preserve">Average salary of the company is 10 lac </t>
  </si>
  <si>
    <t xml:space="preserve">Always check back if your analysis findings ties back to the objective </t>
  </si>
  <si>
    <t xml:space="preserve">Percentage without context </t>
  </si>
  <si>
    <t>salary for 500 folks is 2 lac</t>
  </si>
  <si>
    <t>Make real-life sense</t>
  </si>
  <si>
    <t xml:space="preserve">Understand what your formula means in real life - it should make sense </t>
  </si>
  <si>
    <t xml:space="preserve">Crime has increased 200% </t>
  </si>
  <si>
    <t>outliers</t>
  </si>
  <si>
    <t>salary for CEO is 20 cr</t>
  </si>
  <si>
    <t xml:space="preserve">Understand what youre doing before doing it </t>
  </si>
  <si>
    <t xml:space="preserve">1 per 100k to 3 per 100k </t>
  </si>
  <si>
    <t>10 lac</t>
  </si>
  <si>
    <t>Formatting</t>
  </si>
  <si>
    <t xml:space="preserve">Ensure your analysis file is well formatted and easy to interpret by someone else </t>
  </si>
  <si>
    <t xml:space="preserve">Over emphasis on outliers </t>
  </si>
  <si>
    <t xml:space="preserve">Diet company highlights outliers </t>
  </si>
  <si>
    <t xml:space="preserve">CN: average placement has increase by 500% </t>
  </si>
  <si>
    <t>Formulas</t>
  </si>
  <si>
    <t xml:space="preserve">Always work with formulas to make your analysis reproducible </t>
  </si>
  <si>
    <t xml:space="preserve">Misleading graphs </t>
  </si>
  <si>
    <t xml:space="preserve">Avoid manual work on the dataset </t>
  </si>
  <si>
    <t xml:space="preserve">If formulas are applied on one column, keep the formulas in the first row (highlight it) and paste as values for other rows </t>
  </si>
  <si>
    <t xml:space="preserve">Confusing Correlation with Causation </t>
  </si>
  <si>
    <t xml:space="preserve">AC sales went up by 200% in April MoM (X company) </t>
  </si>
  <si>
    <t xml:space="preserve">Data Integrity </t>
  </si>
  <si>
    <t xml:space="preserve">keep raw data </t>
  </si>
  <si>
    <t xml:space="preserve">March is comparitively </t>
  </si>
  <si>
    <t xml:space="preserve">keeping a backup of the original data in a separate tab that is password protected </t>
  </si>
  <si>
    <t xml:space="preserve">April </t>
  </si>
  <si>
    <t xml:space="preserve">Seasonal things should be comapred with same period last year </t>
  </si>
  <si>
    <t xml:space="preserve">sharepoint - where your store </t>
  </si>
  <si>
    <t xml:space="preserve">saving raw data in protected sheet </t>
  </si>
  <si>
    <t xml:space="preserve">Apr '23 </t>
  </si>
  <si>
    <t>Apr'24</t>
  </si>
  <si>
    <t xml:space="preserve">paste formulas as values after QC-ing it </t>
  </si>
  <si>
    <t xml:space="preserve">read graphs carefully </t>
  </si>
  <si>
    <t>cannot handle huge data</t>
  </si>
  <si>
    <t xml:space="preserve">Column </t>
  </si>
  <si>
    <t>Column X</t>
  </si>
  <si>
    <t xml:space="preserve">processing speed </t>
  </si>
  <si>
    <t>X</t>
  </si>
  <si>
    <t>countifs(1,2,3)</t>
  </si>
  <si>
    <t>keep formula</t>
  </si>
  <si>
    <t xml:space="preserve">less automation </t>
  </si>
  <si>
    <t>Y</t>
  </si>
  <si>
    <t>paste as values</t>
  </si>
  <si>
    <t xml:space="preserve">visualization </t>
  </si>
  <si>
    <t>Z</t>
  </si>
  <si>
    <t xml:space="preserve">data integrity is very low </t>
  </si>
  <si>
    <t>~F</t>
  </si>
  <si>
    <t xml:space="preserve">difficult to troubleshoot </t>
  </si>
  <si>
    <t>D</t>
  </si>
  <si>
    <t xml:space="preserve">c. Hospital Resource Management </t>
  </si>
  <si>
    <r>
      <t>a.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Calibri"/>
        <family val="2"/>
      </rPr>
      <t>Demographic Analysis of Medical Conditions</t>
    </r>
  </si>
  <si>
    <t>Patient Price Optimization</t>
  </si>
  <si>
    <t>Objective: Identify ways in which hospital can better manage its resources</t>
  </si>
  <si>
    <t>Objective: Identify the most prevalent medical conditions within different demographic groups</t>
  </si>
  <si>
    <r>
      <t xml:space="preserve">Objective: Identify trends in the data and </t>
    </r>
    <r>
      <rPr>
        <b/>
        <sz val="16"/>
        <color rgb="FF00B050"/>
        <rFont val="Calibri"/>
        <family val="2"/>
      </rPr>
      <t xml:space="preserve">recommend ways for patients </t>
    </r>
    <r>
      <rPr>
        <b/>
        <sz val="16"/>
        <color theme="1"/>
        <rFont val="Calibri"/>
        <family val="2"/>
      </rPr>
      <t>to reduce their cost.</t>
    </r>
  </si>
  <si>
    <t xml:space="preserve">Analysis: Identify time-series trends in admission type and suggest ways to improve the workload utilization of the hospital. </t>
  </si>
  <si>
    <t xml:space="preserve">Analysis: Analyze the frequency of each medical condition across different patient demographics. </t>
  </si>
  <si>
    <t xml:space="preserve">Analysis: Calculate the average billing amount for different metrics. </t>
  </si>
  <si>
    <t>Consider this entire dataset to be from 1 hospital ("ABC Hospital")</t>
  </si>
  <si>
    <t>Bucket the demographics to make it presentable to high level management</t>
  </si>
  <si>
    <t xml:space="preserve">Determine if certain metrics consistently result in higher or lower healthcare costs. </t>
  </si>
  <si>
    <t>Ensure not to create too many bucket and make the bucket mutually exclusive and collectively exhaustive</t>
  </si>
  <si>
    <t>Try to relate it back to findings from the demographic analysis</t>
  </si>
  <si>
    <t>Objective</t>
  </si>
  <si>
    <t>Hypothesis</t>
  </si>
  <si>
    <t>Comments</t>
  </si>
  <si>
    <t xml:space="preserve">Objective </t>
  </si>
  <si>
    <t xml:space="preserve">Hypothesis </t>
  </si>
  <si>
    <t xml:space="preserve">sample size analysis </t>
  </si>
  <si>
    <t>Healthcare Case Solution v0.1</t>
  </si>
  <si>
    <t>Healthcare Case Solution v0.1 RJ</t>
  </si>
  <si>
    <t xml:space="preserve">defining the goals </t>
  </si>
  <si>
    <t>Lifecycle of data analysis</t>
  </si>
  <si>
    <t xml:space="preserve">understand the problem statement </t>
  </si>
  <si>
    <t xml:space="preserve">gather the data </t>
  </si>
  <si>
    <t xml:space="preserve">undrstand the data </t>
  </si>
  <si>
    <t xml:space="preserve">data cleaning </t>
  </si>
  <si>
    <t xml:space="preserve">identifying the stakeholders </t>
  </si>
  <si>
    <t xml:space="preserve">Exploratory data analysis </t>
  </si>
  <si>
    <t xml:space="preserve">Data Enhancement </t>
  </si>
  <si>
    <t xml:space="preserve">Analysis </t>
  </si>
  <si>
    <t xml:space="preserve">Visulaization </t>
  </si>
  <si>
    <t xml:space="preserve">Communication </t>
  </si>
  <si>
    <t xml:space="preserve">Step </t>
  </si>
  <si>
    <t xml:space="preserve">What is it that is being asked </t>
  </si>
  <si>
    <t>Why are they asking it?</t>
  </si>
  <si>
    <t>Who is asking it?</t>
  </si>
  <si>
    <t>Sales for the 2 years</t>
  </si>
  <si>
    <t xml:space="preserve">Manager </t>
  </si>
  <si>
    <t xml:space="preserve">weekly level / monthly level </t>
  </si>
  <si>
    <t xml:space="preserve">daily level analysi </t>
  </si>
  <si>
    <t xml:space="preserve">CEO </t>
  </si>
  <si>
    <t xml:space="preserve">quarterly level/annual/half-yealry </t>
  </si>
  <si>
    <t>Why the sales of XYZ product is decreasing?</t>
  </si>
  <si>
    <t>New customers are not buying the product</t>
  </si>
  <si>
    <t>Existing customers are not buying ?</t>
  </si>
  <si>
    <t>Customers are not happy with the product / ratings</t>
  </si>
  <si>
    <t xml:space="preserve">Seasonality </t>
  </si>
  <si>
    <t xml:space="preserve">Same product has been launched by competitor </t>
  </si>
  <si>
    <t xml:space="preserve">Quality issue with product </t>
  </si>
  <si>
    <t>Pricing issue (not value for money)</t>
  </si>
  <si>
    <t xml:space="preserve">Not correct placement of product </t>
  </si>
  <si>
    <t xml:space="preserve">Supply chain </t>
  </si>
  <si>
    <t xml:space="preserve">Customer service </t>
  </si>
  <si>
    <t>Discouting is not proper</t>
  </si>
  <si>
    <t xml:space="preserve">Marketing challenges </t>
  </si>
  <si>
    <t xml:space="preserve">Dataset </t>
  </si>
  <si>
    <t xml:space="preserve">NPS </t>
  </si>
  <si>
    <t>Sales</t>
  </si>
  <si>
    <t>Market Data</t>
  </si>
  <si>
    <t>Quality</t>
  </si>
  <si>
    <t>Pricing</t>
  </si>
  <si>
    <t xml:space="preserve">Marketing </t>
  </si>
  <si>
    <t xml:space="preserve">Supply data </t>
  </si>
  <si>
    <t xml:space="preserve">marekting </t>
  </si>
  <si>
    <t xml:space="preserve">data dictionary </t>
  </si>
  <si>
    <t xml:space="preserve">Product </t>
  </si>
  <si>
    <t xml:space="preserve">Sales </t>
  </si>
  <si>
    <t xml:space="preserve">Discount </t>
  </si>
  <si>
    <t>Tax</t>
  </si>
  <si>
    <t>Column</t>
  </si>
  <si>
    <t xml:space="preserve">Definiton </t>
  </si>
  <si>
    <t xml:space="preserve">product in discussion </t>
  </si>
  <si>
    <t xml:space="preserve">Dollar amount or units -- what is the timeframe &gt; 1 month 1 year 1 day </t>
  </si>
  <si>
    <t xml:space="preserve">discount on the product - 10% of all - 5% for 50% /15% </t>
  </si>
  <si>
    <t>what is the unique idenfier?</t>
  </si>
  <si>
    <t xml:space="preserve">Sample Size Analysis </t>
  </si>
  <si>
    <t>PS:</t>
  </si>
  <si>
    <t xml:space="preserve">Evaluate the average housing price in India </t>
  </si>
  <si>
    <t>100K</t>
  </si>
  <si>
    <t>House Numer\</t>
  </si>
  <si>
    <t xml:space="preserve">Region </t>
  </si>
  <si>
    <t>North</t>
  </si>
  <si>
    <t>West</t>
  </si>
  <si>
    <t xml:space="preserve">East </t>
  </si>
  <si>
    <t xml:space="preserve">South </t>
  </si>
  <si>
    <t>Rural/Urban</t>
  </si>
  <si>
    <t>Urban</t>
  </si>
  <si>
    <t xml:space="preserve">Rural </t>
  </si>
  <si>
    <t xml:space="preserve">Price of the house </t>
  </si>
  <si>
    <t>Average</t>
  </si>
  <si>
    <t>2k</t>
  </si>
  <si>
    <t xml:space="preserve">98k </t>
  </si>
  <si>
    <t>Bias</t>
  </si>
  <si>
    <t xml:space="preserve">98k - avg housng price of rural india </t>
  </si>
  <si>
    <t xml:space="preserve">analyse the demography </t>
  </si>
  <si>
    <t>90 - males</t>
  </si>
  <si>
    <t xml:space="preserve">10 - females </t>
  </si>
  <si>
    <t xml:space="preserve">Average </t>
  </si>
  <si>
    <t>sharepoint - automatically does version controlling</t>
  </si>
  <si>
    <t>save as &gt;&gt;</t>
  </si>
  <si>
    <t>v2.1</t>
  </si>
  <si>
    <t>v2.2</t>
  </si>
  <si>
    <t>v2.3</t>
  </si>
  <si>
    <t>v3</t>
  </si>
  <si>
    <t xml:space="preserve">Column XY has 10 null values </t>
  </si>
  <si>
    <t>V0.3 has formula mistake - do not uise that version instead use v0.4</t>
  </si>
  <si>
    <t xml:space="preserve">password for this system is ABCED </t>
  </si>
  <si>
    <t xml:space="preserve">cannot handle large data </t>
  </si>
  <si>
    <t xml:space="preserve">performance issues </t>
  </si>
  <si>
    <t xml:space="preserve">drawbacks woth some formulas </t>
  </si>
  <si>
    <t>lack of automation</t>
  </si>
  <si>
    <t>data integrity issues</t>
  </si>
  <si>
    <t>limited data visual issues</t>
  </si>
  <si>
    <t xml:space="preserve">apply formula &gt; QC &gt; highlight the first ceel with formula &gt; remaining rows paste as values </t>
  </si>
  <si>
    <t>A</t>
  </si>
  <si>
    <t>B</t>
  </si>
  <si>
    <t>C</t>
  </si>
  <si>
    <t>Ra</t>
  </si>
  <si>
    <t>XYZ</t>
  </si>
  <si>
    <t>ABC</t>
  </si>
  <si>
    <t>MNO</t>
  </si>
  <si>
    <t xml:space="preserve">understand the problem statememt </t>
  </si>
  <si>
    <t xml:space="preserve">get relevant data </t>
  </si>
  <si>
    <t xml:space="preserve">understand the data </t>
  </si>
  <si>
    <t xml:space="preserve">feature engineering </t>
  </si>
  <si>
    <t xml:space="preserve">data analysis </t>
  </si>
  <si>
    <t xml:space="preserve">communication </t>
  </si>
  <si>
    <t xml:space="preserve">exploratory data analysis </t>
  </si>
  <si>
    <t xml:space="preserve">data enhancemnt </t>
  </si>
  <si>
    <t>(optional)</t>
  </si>
  <si>
    <t>quality of product might be bad</t>
  </si>
  <si>
    <t xml:space="preserve">demand of the product is no more </t>
  </si>
  <si>
    <t xml:space="preserve">market has better product </t>
  </si>
  <si>
    <t xml:space="preserve">availability of the product - a lot of competitots </t>
  </si>
  <si>
    <t xml:space="preserve">poor customer support </t>
  </si>
  <si>
    <t>not enough marketing and gathering the data for selling the product</t>
  </si>
  <si>
    <t xml:space="preserve">low production </t>
  </si>
  <si>
    <t xml:space="preserve">cost might be expensive (high pricing) </t>
  </si>
  <si>
    <t xml:space="preserve">no return policy </t>
  </si>
  <si>
    <t>Cutomer/sales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</si>
</sst>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7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rgb="FF000000"/>
      <name val="Calibri"/>
      <family val="2"/>
    </font>
    <font>
      <b/>
      <sz val="16"/>
      <color rgb="FF00B050"/>
      <name val="Calibri"/>
      <family val="2"/>
    </font>
    <font>
      <i/>
      <sz val="12"/>
      <color rgb="FF000000"/>
      <name val="Calibri"/>
      <family val="2"/>
    </font>
    <font>
      <sz val="16"/>
      <color theme="1"/>
      <name val="Calibri"/>
      <family val="2"/>
    </font>
    <font>
      <i/>
      <sz val="12"/>
      <color theme="1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i/>
      <u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9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0"/>
      <color rgb="FFFF0000"/>
      <name val="Helvetica"/>
      <family val="2"/>
    </font>
    <font>
      <sz val="10"/>
      <color theme="9"/>
      <name val="Helvetica"/>
      <family val="2"/>
    </font>
    <font>
      <b/>
      <sz val="12"/>
      <color theme="9"/>
      <name val="Aptos Narrow"/>
      <family val="2"/>
      <scheme val="minor"/>
    </font>
    <font>
      <sz val="9"/>
      <color theme="1"/>
      <name val="Helvetica"/>
      <family val="2"/>
    </font>
    <font>
      <sz val="12"/>
      <color theme="1"/>
      <name val="Helvetica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CAEDFB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4" borderId="3" xfId="0" applyFont="1" applyFill="1" applyBorder="1"/>
    <xf numFmtId="0" fontId="0" fillId="0" borderId="4" xfId="0" applyBorder="1"/>
    <xf numFmtId="0" fontId="3" fillId="0" borderId="0" xfId="0" applyFont="1"/>
    <xf numFmtId="0" fontId="2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4" borderId="3" xfId="0" applyFill="1" applyBorder="1"/>
    <xf numFmtId="0" fontId="0" fillId="4" borderId="8" xfId="0" applyFill="1" applyBorder="1"/>
    <xf numFmtId="0" fontId="0" fillId="0" borderId="9" xfId="0" applyBorder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left"/>
    </xf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11" fillId="4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7" fillId="5" borderId="0" xfId="0" applyFont="1" applyFill="1"/>
    <xf numFmtId="0" fontId="18" fillId="0" borderId="0" xfId="0" applyFont="1"/>
    <xf numFmtId="0" fontId="19" fillId="4" borderId="0" xfId="0" applyFont="1" applyFill="1"/>
    <xf numFmtId="0" fontId="20" fillId="0" borderId="0" xfId="0" applyFont="1"/>
    <xf numFmtId="0" fontId="21" fillId="4" borderId="0" xfId="0" applyFont="1" applyFill="1"/>
    <xf numFmtId="0" fontId="2" fillId="3" borderId="0" xfId="0" applyFont="1" applyFill="1"/>
    <xf numFmtId="0" fontId="22" fillId="7" borderId="0" xfId="0" applyFont="1" applyFill="1"/>
    <xf numFmtId="0" fontId="23" fillId="0" borderId="0" xfId="0" applyFont="1"/>
    <xf numFmtId="0" fontId="24" fillId="0" borderId="0" xfId="0" applyFont="1"/>
    <xf numFmtId="0" fontId="1" fillId="0" borderId="0" xfId="0" applyFont="1"/>
    <xf numFmtId="0" fontId="25" fillId="0" borderId="0" xfId="0" applyFont="1"/>
    <xf numFmtId="0" fontId="26" fillId="0" borderId="0" xfId="0" applyFont="1" applyAlignment="1">
      <alignment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0" fillId="3" borderId="1" xfId="0" applyFill="1" applyBorder="1"/>
    <xf numFmtId="0" fontId="0" fillId="3" borderId="10" xfId="0" applyFill="1" applyBorder="1"/>
    <xf numFmtId="0" fontId="0" fillId="3" borderId="2" xfId="0" applyFill="1" applyBorder="1"/>
    <xf numFmtId="0" fontId="0" fillId="0" borderId="3" xfId="0" applyBorder="1"/>
    <xf numFmtId="0" fontId="0" fillId="3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31" fillId="0" borderId="0" xfId="0" applyFont="1"/>
    <xf numFmtId="0" fontId="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shav/Desktop/Rishav%20Oficial/Coding%20Ninjas/Case%20Study%20Excel/Batch%207/Healthcare%20Case%20Solution%20B7%20-%20v0.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shav/Desktop/Rishav%20Oficial/Coding%20Ninjas/Case%20Study%20Excel/Batch%205/Healthcare%20Case%20Analysis%20B5%20-%20v0.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shav/Desktop/Rishav%20Oficial/Coding%20Ninjas/Case%20Study%20Excel/Batch%206/Healthcare%20Case%20Study%20B6%20-%20v0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C151-3B4A-3641-9AC7-1565455BE66A}">
  <dimension ref="A3:N55"/>
  <sheetViews>
    <sheetView topLeftCell="A4" zoomScale="60" zoomScaleNormal="60" workbookViewId="0">
      <selection activeCell="N25" sqref="N25"/>
    </sheetView>
  </sheetViews>
  <sheetFormatPr defaultColWidth="11.19921875" defaultRowHeight="15.6" x14ac:dyDescent="0.3"/>
  <cols>
    <col min="1" max="1" width="10.796875" style="48"/>
    <col min="2" max="2" width="30.5" bestFit="1" customWidth="1"/>
    <col min="3" max="3" width="20.5" customWidth="1"/>
    <col min="4" max="4" width="15.19921875" customWidth="1"/>
    <col min="11" max="11" width="43.19921875" bestFit="1" customWidth="1"/>
    <col min="14" max="14" width="28" customWidth="1"/>
  </cols>
  <sheetData>
    <row r="3" spans="1:14" x14ac:dyDescent="0.3">
      <c r="A3" s="47" t="s">
        <v>130</v>
      </c>
      <c r="B3" s="2" t="s">
        <v>119</v>
      </c>
    </row>
    <row r="5" spans="1:14" x14ac:dyDescent="0.3">
      <c r="A5" s="48">
        <v>1</v>
      </c>
      <c r="B5" s="2" t="s">
        <v>120</v>
      </c>
      <c r="C5" t="s">
        <v>124</v>
      </c>
      <c r="D5" t="s">
        <v>118</v>
      </c>
      <c r="G5" t="s">
        <v>131</v>
      </c>
      <c r="K5" s="2" t="s">
        <v>140</v>
      </c>
      <c r="L5" s="7" t="s">
        <v>153</v>
      </c>
    </row>
    <row r="6" spans="1:14" x14ac:dyDescent="0.3">
      <c r="G6" t="s">
        <v>132</v>
      </c>
    </row>
    <row r="7" spans="1:14" x14ac:dyDescent="0.3">
      <c r="A7" s="48">
        <f>A5+1</f>
        <v>2</v>
      </c>
      <c r="B7" t="s">
        <v>121</v>
      </c>
      <c r="G7" s="2" t="s">
        <v>133</v>
      </c>
      <c r="K7" t="s">
        <v>141</v>
      </c>
      <c r="L7" t="s">
        <v>237</v>
      </c>
      <c r="N7" t="s">
        <v>228</v>
      </c>
    </row>
    <row r="8" spans="1:14" x14ac:dyDescent="0.3">
      <c r="K8" t="s">
        <v>142</v>
      </c>
      <c r="L8" t="s">
        <v>237</v>
      </c>
      <c r="N8" t="s">
        <v>235</v>
      </c>
    </row>
    <row r="9" spans="1:14" x14ac:dyDescent="0.3">
      <c r="A9" s="48">
        <f>A7+1</f>
        <v>3</v>
      </c>
      <c r="B9" t="s">
        <v>122</v>
      </c>
      <c r="C9" t="s">
        <v>162</v>
      </c>
      <c r="G9" t="s">
        <v>134</v>
      </c>
      <c r="K9" t="s">
        <v>143</v>
      </c>
      <c r="L9" t="s">
        <v>154</v>
      </c>
      <c r="N9" t="s">
        <v>229</v>
      </c>
    </row>
    <row r="10" spans="1:14" x14ac:dyDescent="0.3">
      <c r="C10" t="s">
        <v>115</v>
      </c>
      <c r="K10" t="s">
        <v>144</v>
      </c>
      <c r="L10" t="s">
        <v>155</v>
      </c>
      <c r="N10" t="s">
        <v>230</v>
      </c>
    </row>
    <row r="11" spans="1:14" x14ac:dyDescent="0.3">
      <c r="A11" s="48">
        <f>A9+1</f>
        <v>4</v>
      </c>
      <c r="B11" t="s">
        <v>123</v>
      </c>
      <c r="F11" t="s">
        <v>135</v>
      </c>
      <c r="G11" t="s">
        <v>136</v>
      </c>
      <c r="K11" t="s">
        <v>145</v>
      </c>
      <c r="L11" t="s">
        <v>156</v>
      </c>
      <c r="N11" t="s">
        <v>231</v>
      </c>
    </row>
    <row r="12" spans="1:14" x14ac:dyDescent="0.3">
      <c r="G12" t="s">
        <v>137</v>
      </c>
      <c r="K12" t="s">
        <v>146</v>
      </c>
      <c r="L12" t="s">
        <v>157</v>
      </c>
      <c r="N12" t="s">
        <v>232</v>
      </c>
    </row>
    <row r="13" spans="1:14" x14ac:dyDescent="0.3">
      <c r="A13" s="48">
        <f>A11+1</f>
        <v>5</v>
      </c>
      <c r="B13" t="s">
        <v>125</v>
      </c>
      <c r="K13" t="s">
        <v>147</v>
      </c>
      <c r="L13" t="s">
        <v>158</v>
      </c>
      <c r="N13" s="53" t="s">
        <v>233</v>
      </c>
    </row>
    <row r="14" spans="1:14" x14ac:dyDescent="0.3">
      <c r="K14" t="s">
        <v>148</v>
      </c>
      <c r="L14" t="s">
        <v>159</v>
      </c>
      <c r="N14" t="s">
        <v>234</v>
      </c>
    </row>
    <row r="15" spans="1:14" x14ac:dyDescent="0.3">
      <c r="A15" s="48">
        <f>A13+1</f>
        <v>6</v>
      </c>
      <c r="B15" t="s">
        <v>126</v>
      </c>
      <c r="C15" t="s">
        <v>227</v>
      </c>
      <c r="F15" t="s">
        <v>138</v>
      </c>
      <c r="G15" t="s">
        <v>139</v>
      </c>
      <c r="K15" t="s">
        <v>149</v>
      </c>
      <c r="L15" t="s">
        <v>160</v>
      </c>
      <c r="N15" t="s">
        <v>236</v>
      </c>
    </row>
    <row r="16" spans="1:14" x14ac:dyDescent="0.3">
      <c r="K16" t="s">
        <v>150</v>
      </c>
      <c r="L16" t="s">
        <v>154</v>
      </c>
    </row>
    <row r="17" spans="1:13" x14ac:dyDescent="0.3">
      <c r="A17" s="52">
        <f>A15+1</f>
        <v>7</v>
      </c>
      <c r="B17" t="s">
        <v>127</v>
      </c>
      <c r="K17" t="s">
        <v>151</v>
      </c>
      <c r="L17" t="s">
        <v>161</v>
      </c>
    </row>
    <row r="18" spans="1:13" x14ac:dyDescent="0.3">
      <c r="K18" t="s">
        <v>152</v>
      </c>
    </row>
    <row r="19" spans="1:13" x14ac:dyDescent="0.3">
      <c r="A19" s="48">
        <f>A17+1</f>
        <v>8</v>
      </c>
      <c r="B19" t="s">
        <v>128</v>
      </c>
    </row>
    <row r="21" spans="1:13" x14ac:dyDescent="0.3">
      <c r="A21" s="48">
        <f>A19+1</f>
        <v>9</v>
      </c>
      <c r="B21" t="s">
        <v>129</v>
      </c>
      <c r="J21" t="s">
        <v>163</v>
      </c>
      <c r="K21" t="s">
        <v>164</v>
      </c>
      <c r="L21" t="s">
        <v>165</v>
      </c>
      <c r="M21" t="s">
        <v>166</v>
      </c>
    </row>
    <row r="23" spans="1:13" x14ac:dyDescent="0.3">
      <c r="J23" s="7" t="s">
        <v>167</v>
      </c>
      <c r="K23" s="7" t="s">
        <v>168</v>
      </c>
    </row>
    <row r="24" spans="1:13" x14ac:dyDescent="0.3">
      <c r="J24" t="s">
        <v>163</v>
      </c>
      <c r="K24" t="s">
        <v>169</v>
      </c>
    </row>
    <row r="25" spans="1:13" x14ac:dyDescent="0.3">
      <c r="J25" t="s">
        <v>164</v>
      </c>
      <c r="K25" t="s">
        <v>170</v>
      </c>
    </row>
    <row r="26" spans="1:13" x14ac:dyDescent="0.3">
      <c r="J26" t="s">
        <v>165</v>
      </c>
      <c r="K26" t="s">
        <v>171</v>
      </c>
    </row>
    <row r="27" spans="1:13" x14ac:dyDescent="0.3">
      <c r="J27" t="s">
        <v>166</v>
      </c>
    </row>
    <row r="29" spans="1:13" x14ac:dyDescent="0.3">
      <c r="J29" t="s">
        <v>172</v>
      </c>
    </row>
    <row r="31" spans="1:13" x14ac:dyDescent="0.3">
      <c r="H31" t="s">
        <v>173</v>
      </c>
    </row>
    <row r="33" spans="7:10" x14ac:dyDescent="0.3">
      <c r="G33" t="s">
        <v>174</v>
      </c>
      <c r="H33" t="s">
        <v>175</v>
      </c>
    </row>
    <row r="35" spans="7:10" x14ac:dyDescent="0.3">
      <c r="G35" t="s">
        <v>153</v>
      </c>
      <c r="H35" t="s">
        <v>176</v>
      </c>
    </row>
    <row r="37" spans="7:10" x14ac:dyDescent="0.3">
      <c r="G37" s="46" t="s">
        <v>177</v>
      </c>
      <c r="H37" s="46" t="s">
        <v>178</v>
      </c>
      <c r="I37" s="46" t="s">
        <v>183</v>
      </c>
      <c r="J37" s="46" t="s">
        <v>186</v>
      </c>
    </row>
    <row r="38" spans="7:10" x14ac:dyDescent="0.3">
      <c r="G38">
        <v>1</v>
      </c>
      <c r="H38" t="s">
        <v>179</v>
      </c>
      <c r="I38" t="s">
        <v>184</v>
      </c>
      <c r="J38">
        <v>100</v>
      </c>
    </row>
    <row r="39" spans="7:10" x14ac:dyDescent="0.3">
      <c r="G39">
        <v>2</v>
      </c>
      <c r="H39" t="s">
        <v>180</v>
      </c>
      <c r="I39" t="s">
        <v>185</v>
      </c>
      <c r="J39">
        <v>200</v>
      </c>
    </row>
    <row r="40" spans="7:10" x14ac:dyDescent="0.3">
      <c r="G40">
        <v>3</v>
      </c>
      <c r="H40" t="s">
        <v>181</v>
      </c>
      <c r="I40" t="s">
        <v>184</v>
      </c>
      <c r="J40">
        <v>300</v>
      </c>
    </row>
    <row r="41" spans="7:10" x14ac:dyDescent="0.3">
      <c r="G41">
        <v>4</v>
      </c>
      <c r="H41" t="s">
        <v>182</v>
      </c>
      <c r="I41" t="s">
        <v>185</v>
      </c>
      <c r="J41">
        <v>400</v>
      </c>
    </row>
    <row r="43" spans="7:10" x14ac:dyDescent="0.3">
      <c r="I43" t="s">
        <v>187</v>
      </c>
      <c r="J43">
        <f>AVERAGE(J38:J41)</f>
        <v>250</v>
      </c>
    </row>
    <row r="44" spans="7:10" x14ac:dyDescent="0.3">
      <c r="I44" t="s">
        <v>195</v>
      </c>
    </row>
    <row r="45" spans="7:10" x14ac:dyDescent="0.3">
      <c r="G45" t="s">
        <v>184</v>
      </c>
      <c r="H45" t="s">
        <v>188</v>
      </c>
      <c r="I45">
        <v>350</v>
      </c>
    </row>
    <row r="46" spans="7:10" x14ac:dyDescent="0.3">
      <c r="G46" t="s">
        <v>185</v>
      </c>
      <c r="H46" t="s">
        <v>189</v>
      </c>
      <c r="I46">
        <v>200</v>
      </c>
    </row>
    <row r="48" spans="7:10" x14ac:dyDescent="0.3">
      <c r="G48" s="7" t="s">
        <v>190</v>
      </c>
    </row>
    <row r="50" spans="7:7" x14ac:dyDescent="0.3">
      <c r="G50" t="s">
        <v>191</v>
      </c>
    </row>
    <row r="52" spans="7:7" x14ac:dyDescent="0.3">
      <c r="G52" t="s">
        <v>192</v>
      </c>
    </row>
    <row r="54" spans="7:7" x14ac:dyDescent="0.3">
      <c r="G54" t="s">
        <v>193</v>
      </c>
    </row>
    <row r="55" spans="7:7" x14ac:dyDescent="0.3">
      <c r="G55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186E-38FD-DF4B-89F7-6B6CF414E4AC}">
  <dimension ref="B2:T26"/>
  <sheetViews>
    <sheetView zoomScale="65" zoomScaleNormal="65" workbookViewId="0"/>
  </sheetViews>
  <sheetFormatPr defaultColWidth="11.19921875" defaultRowHeight="15.6" x14ac:dyDescent="0.3"/>
  <cols>
    <col min="1" max="1" width="3.5" customWidth="1"/>
    <col min="2" max="2" width="45.69921875" customWidth="1"/>
    <col min="3" max="3" width="48" customWidth="1"/>
    <col min="4" max="4" width="28.19921875" customWidth="1"/>
    <col min="10" max="10" width="44.5" customWidth="1"/>
    <col min="11" max="11" width="47.69921875" customWidth="1"/>
    <col min="12" max="12" width="32.69921875" customWidth="1"/>
    <col min="17" max="17" width="29.19921875" customWidth="1"/>
    <col min="18" max="18" width="31" customWidth="1"/>
    <col min="19" max="19" width="47" customWidth="1"/>
  </cols>
  <sheetData>
    <row r="2" spans="2:20" ht="23.4" x14ac:dyDescent="0.45">
      <c r="J2" s="16">
        <v>2</v>
      </c>
      <c r="K2" s="17"/>
      <c r="L2" s="17"/>
      <c r="Q2" s="18" t="s">
        <v>96</v>
      </c>
      <c r="R2" s="19"/>
      <c r="S2" s="19"/>
      <c r="T2" s="19"/>
    </row>
    <row r="3" spans="2:20" ht="21" x14ac:dyDescent="0.3">
      <c r="B3" s="20" t="s">
        <v>97</v>
      </c>
      <c r="C3" s="20"/>
      <c r="D3" s="21"/>
      <c r="J3" s="22" t="s">
        <v>98</v>
      </c>
      <c r="K3" s="17"/>
      <c r="L3" s="17"/>
      <c r="Q3" s="23" t="s">
        <v>99</v>
      </c>
      <c r="R3" s="19"/>
      <c r="S3" s="19"/>
      <c r="T3" s="19"/>
    </row>
    <row r="4" spans="2:20" ht="21" x14ac:dyDescent="0.3">
      <c r="B4" s="24" t="s">
        <v>100</v>
      </c>
      <c r="C4" s="24"/>
      <c r="D4" s="24"/>
      <c r="J4" s="22" t="s">
        <v>101</v>
      </c>
      <c r="K4" s="17"/>
      <c r="L4" s="17"/>
      <c r="Q4" s="23" t="s">
        <v>102</v>
      </c>
      <c r="R4" s="19"/>
      <c r="S4" s="19"/>
      <c r="T4" s="19"/>
    </row>
    <row r="5" spans="2:20" ht="21" x14ac:dyDescent="0.3">
      <c r="B5" s="25" t="s">
        <v>103</v>
      </c>
      <c r="C5" s="25"/>
      <c r="D5" s="25"/>
      <c r="J5" s="26" t="s">
        <v>104</v>
      </c>
      <c r="K5" s="17"/>
      <c r="L5" s="17"/>
      <c r="Q5" s="27" t="s">
        <v>105</v>
      </c>
      <c r="R5" s="19"/>
      <c r="S5" s="19"/>
      <c r="T5" s="19"/>
    </row>
    <row r="6" spans="2:20" ht="21" x14ac:dyDescent="0.4">
      <c r="B6" s="28" t="s">
        <v>106</v>
      </c>
      <c r="C6" s="28"/>
      <c r="D6" s="21"/>
      <c r="J6" s="29" t="s">
        <v>107</v>
      </c>
      <c r="K6" s="17"/>
      <c r="L6" s="17"/>
    </row>
    <row r="7" spans="2:20" ht="21" x14ac:dyDescent="0.4">
      <c r="B7" s="30" t="s">
        <v>108</v>
      </c>
      <c r="C7" s="30"/>
      <c r="D7" s="30"/>
      <c r="J7" s="31" t="s">
        <v>109</v>
      </c>
      <c r="K7" s="17"/>
      <c r="L7" s="17"/>
      <c r="Q7" s="32" t="s">
        <v>110</v>
      </c>
      <c r="R7" s="32" t="s">
        <v>111</v>
      </c>
      <c r="S7" s="32" t="s">
        <v>112</v>
      </c>
    </row>
    <row r="8" spans="2:20" x14ac:dyDescent="0.3">
      <c r="B8" s="21"/>
      <c r="C8" s="21"/>
      <c r="D8" s="21"/>
    </row>
    <row r="9" spans="2:20" x14ac:dyDescent="0.3">
      <c r="B9" s="21"/>
      <c r="C9" s="21"/>
      <c r="D9" s="21"/>
      <c r="J9" s="32" t="s">
        <v>113</v>
      </c>
      <c r="K9" s="32" t="s">
        <v>111</v>
      </c>
      <c r="L9" s="32" t="s">
        <v>112</v>
      </c>
    </row>
    <row r="10" spans="2:20" x14ac:dyDescent="0.3">
      <c r="B10" s="33" t="s">
        <v>110</v>
      </c>
      <c r="C10" s="33" t="s">
        <v>114</v>
      </c>
      <c r="D10" s="33" t="s">
        <v>112</v>
      </c>
      <c r="Q10" s="2"/>
      <c r="S10" s="2"/>
    </row>
    <row r="11" spans="2:20" x14ac:dyDescent="0.3">
      <c r="B11" s="34"/>
      <c r="Q11" s="35"/>
    </row>
    <row r="12" spans="2:20" x14ac:dyDescent="0.3">
      <c r="B12" s="34"/>
      <c r="J12" s="36"/>
      <c r="K12" s="36"/>
      <c r="L12" s="36"/>
    </row>
    <row r="13" spans="2:20" x14ac:dyDescent="0.3">
      <c r="B13" s="36"/>
      <c r="C13" s="36"/>
      <c r="D13" s="36"/>
      <c r="J13" s="36"/>
      <c r="K13" s="36"/>
      <c r="L13" s="36"/>
    </row>
    <row r="14" spans="2:20" x14ac:dyDescent="0.3">
      <c r="B14" s="36"/>
      <c r="J14" s="36"/>
      <c r="K14" s="36"/>
      <c r="L14" s="36"/>
    </row>
    <row r="15" spans="2:20" x14ac:dyDescent="0.3">
      <c r="B15" s="37"/>
      <c r="C15" s="36"/>
      <c r="D15" s="36"/>
    </row>
    <row r="16" spans="2:20" ht="15" customHeight="1" x14ac:dyDescent="0.3">
      <c r="B16" s="38"/>
      <c r="C16" s="34"/>
      <c r="D16" s="34"/>
    </row>
    <row r="17" spans="2:17" x14ac:dyDescent="0.3">
      <c r="B17" s="37"/>
      <c r="C17" s="36"/>
      <c r="D17" s="36"/>
      <c r="J17" s="36"/>
      <c r="K17" s="36"/>
      <c r="L17" s="36"/>
    </row>
    <row r="18" spans="2:17" x14ac:dyDescent="0.3">
      <c r="B18" s="34"/>
      <c r="C18" s="34"/>
      <c r="D18" s="34"/>
      <c r="J18" s="36"/>
      <c r="K18" s="36"/>
      <c r="L18" s="36"/>
    </row>
    <row r="19" spans="2:17" x14ac:dyDescent="0.3">
      <c r="B19" s="34"/>
      <c r="C19" s="34"/>
      <c r="D19" s="39"/>
      <c r="J19" s="36"/>
      <c r="K19" s="36"/>
      <c r="L19" s="36"/>
    </row>
    <row r="20" spans="2:17" x14ac:dyDescent="0.3">
      <c r="B20" s="36"/>
      <c r="C20" s="36"/>
      <c r="D20" s="36"/>
      <c r="J20" s="40"/>
    </row>
    <row r="21" spans="2:17" ht="16.2" thickBot="1" x14ac:dyDescent="0.35">
      <c r="B21" s="36"/>
      <c r="C21" s="36"/>
      <c r="D21" s="36"/>
      <c r="Q21" s="41"/>
    </row>
    <row r="22" spans="2:17" x14ac:dyDescent="0.3">
      <c r="B22" s="36"/>
      <c r="C22" s="36"/>
      <c r="J22" s="42"/>
      <c r="K22" s="43"/>
      <c r="L22" s="44"/>
    </row>
    <row r="23" spans="2:17" x14ac:dyDescent="0.3">
      <c r="J23" s="45"/>
      <c r="L23" s="6"/>
    </row>
    <row r="24" spans="2:17" x14ac:dyDescent="0.3">
      <c r="J24" s="45"/>
      <c r="L24" s="6"/>
    </row>
    <row r="25" spans="2:17" x14ac:dyDescent="0.3">
      <c r="J25" s="45"/>
      <c r="L25" s="6"/>
    </row>
    <row r="26" spans="2:17" x14ac:dyDescent="0.3">
      <c r="J26" s="45"/>
      <c r="L2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20C-C3E5-F441-9669-F62628EA8BA9}">
  <dimension ref="C1:Y54"/>
  <sheetViews>
    <sheetView showGridLines="0" zoomScale="79" zoomScaleNormal="79" workbookViewId="0">
      <pane ySplit="4" topLeftCell="A5" activePane="bottomLeft" state="frozen"/>
      <selection pane="bottomLeft" activeCell="F62" sqref="F62"/>
    </sheetView>
  </sheetViews>
  <sheetFormatPr defaultColWidth="11.19921875" defaultRowHeight="15.6" x14ac:dyDescent="0.3"/>
  <cols>
    <col min="1" max="1" width="5.796875" customWidth="1"/>
    <col min="2" max="2" width="3.796875" customWidth="1"/>
    <col min="3" max="3" width="18.296875" customWidth="1"/>
    <col min="4" max="4" width="98.5" customWidth="1"/>
    <col min="5" max="5" width="8.69921875" customWidth="1"/>
    <col min="6" max="6" width="9.796875" customWidth="1"/>
    <col min="7" max="13" width="17.19921875" customWidth="1"/>
    <col min="14" max="14" width="16.69921875" customWidth="1"/>
    <col min="15" max="15" width="8.796875" customWidth="1"/>
    <col min="17" max="17" width="12" bestFit="1" customWidth="1"/>
  </cols>
  <sheetData>
    <row r="1" spans="3:25" x14ac:dyDescent="0.3">
      <c r="D1" s="1"/>
    </row>
    <row r="2" spans="3:25" x14ac:dyDescent="0.3">
      <c r="C2" s="2" t="s">
        <v>0</v>
      </c>
      <c r="F2" t="s">
        <v>116</v>
      </c>
    </row>
    <row r="3" spans="3:25" ht="16.2" thickBot="1" x14ac:dyDescent="0.35">
      <c r="D3" s="49" t="s">
        <v>196</v>
      </c>
      <c r="F3" t="s">
        <v>117</v>
      </c>
      <c r="O3" t="s">
        <v>1</v>
      </c>
    </row>
    <row r="4" spans="3:25" x14ac:dyDescent="0.3">
      <c r="C4" s="3" t="s">
        <v>2</v>
      </c>
      <c r="D4" s="4" t="s">
        <v>3</v>
      </c>
      <c r="F4" s="2" t="s">
        <v>4</v>
      </c>
      <c r="Y4" t="s">
        <v>5</v>
      </c>
    </row>
    <row r="5" spans="3:25" x14ac:dyDescent="0.3">
      <c r="C5" s="5" t="s">
        <v>6</v>
      </c>
      <c r="D5" s="6" t="s">
        <v>7</v>
      </c>
      <c r="F5" t="s">
        <v>8</v>
      </c>
      <c r="G5" t="s">
        <v>9</v>
      </c>
      <c r="O5" s="2" t="s">
        <v>10</v>
      </c>
    </row>
    <row r="6" spans="3:25" x14ac:dyDescent="0.3">
      <c r="C6" s="5"/>
      <c r="D6" s="6" t="s">
        <v>11</v>
      </c>
      <c r="E6" t="s">
        <v>197</v>
      </c>
      <c r="F6" t="s">
        <v>12</v>
      </c>
      <c r="G6" t="s">
        <v>13</v>
      </c>
      <c r="O6" t="s">
        <v>14</v>
      </c>
      <c r="X6" t="s">
        <v>15</v>
      </c>
      <c r="Y6" t="s">
        <v>16</v>
      </c>
    </row>
    <row r="7" spans="3:25" x14ac:dyDescent="0.3">
      <c r="C7" s="5"/>
      <c r="D7" s="6" t="s">
        <v>17</v>
      </c>
      <c r="E7" t="s">
        <v>197</v>
      </c>
      <c r="F7" t="s">
        <v>18</v>
      </c>
      <c r="G7" t="s">
        <v>19</v>
      </c>
      <c r="X7" t="s">
        <v>15</v>
      </c>
      <c r="Y7" t="s">
        <v>20</v>
      </c>
    </row>
    <row r="8" spans="3:25" x14ac:dyDescent="0.3">
      <c r="C8" s="5"/>
      <c r="D8" s="6" t="s">
        <v>21</v>
      </c>
      <c r="F8" t="s">
        <v>22</v>
      </c>
      <c r="G8" t="s">
        <v>23</v>
      </c>
      <c r="O8" s="2" t="s">
        <v>24</v>
      </c>
      <c r="X8" t="s">
        <v>15</v>
      </c>
      <c r="Y8" t="s">
        <v>25</v>
      </c>
    </row>
    <row r="9" spans="3:25" x14ac:dyDescent="0.3">
      <c r="C9" s="5"/>
      <c r="D9" s="6"/>
      <c r="E9" t="s">
        <v>26</v>
      </c>
      <c r="F9" t="s">
        <v>27</v>
      </c>
      <c r="O9" t="s">
        <v>28</v>
      </c>
    </row>
    <row r="10" spans="3:25" x14ac:dyDescent="0.3">
      <c r="C10" s="5" t="s">
        <v>29</v>
      </c>
      <c r="D10" s="6" t="s">
        <v>30</v>
      </c>
      <c r="F10" t="s">
        <v>31</v>
      </c>
      <c r="X10" t="s">
        <v>32</v>
      </c>
      <c r="Y10" t="s">
        <v>33</v>
      </c>
    </row>
    <row r="11" spans="3:25" x14ac:dyDescent="0.3">
      <c r="C11" s="5"/>
      <c r="D11" s="6"/>
      <c r="F11" t="s">
        <v>34</v>
      </c>
      <c r="O11" s="2" t="s">
        <v>35</v>
      </c>
    </row>
    <row r="12" spans="3:25" x14ac:dyDescent="0.3">
      <c r="C12" s="5" t="s">
        <v>36</v>
      </c>
      <c r="D12" s="6" t="s">
        <v>37</v>
      </c>
      <c r="F12" t="s">
        <v>38</v>
      </c>
      <c r="O12" t="s">
        <v>39</v>
      </c>
      <c r="X12" s="7" t="s">
        <v>40</v>
      </c>
    </row>
    <row r="13" spans="3:25" x14ac:dyDescent="0.3">
      <c r="C13" s="5"/>
      <c r="D13" s="6" t="s">
        <v>41</v>
      </c>
      <c r="E13" t="s">
        <v>26</v>
      </c>
      <c r="F13" t="s">
        <v>42</v>
      </c>
      <c r="O13" t="s">
        <v>43</v>
      </c>
      <c r="X13" t="s">
        <v>44</v>
      </c>
    </row>
    <row r="14" spans="3:25" x14ac:dyDescent="0.3">
      <c r="C14" s="5"/>
      <c r="D14" s="6" t="s">
        <v>45</v>
      </c>
      <c r="F14" t="s">
        <v>198</v>
      </c>
    </row>
    <row r="15" spans="3:25" x14ac:dyDescent="0.3">
      <c r="C15" s="5"/>
      <c r="D15" s="6"/>
      <c r="F15" t="s">
        <v>199</v>
      </c>
      <c r="O15" s="2" t="s">
        <v>46</v>
      </c>
      <c r="X15" t="s">
        <v>47</v>
      </c>
    </row>
    <row r="16" spans="3:25" x14ac:dyDescent="0.3">
      <c r="C16" s="5" t="s">
        <v>48</v>
      </c>
      <c r="D16" s="6" t="s">
        <v>49</v>
      </c>
      <c r="F16" t="s">
        <v>200</v>
      </c>
      <c r="O16" t="s">
        <v>50</v>
      </c>
      <c r="W16" t="s">
        <v>51</v>
      </c>
      <c r="X16" t="s">
        <v>52</v>
      </c>
    </row>
    <row r="17" spans="3:24" x14ac:dyDescent="0.3">
      <c r="C17" s="5"/>
      <c r="D17" s="6" t="s">
        <v>53</v>
      </c>
      <c r="F17" t="s">
        <v>201</v>
      </c>
      <c r="O17" t="s">
        <v>54</v>
      </c>
      <c r="X17" t="s">
        <v>55</v>
      </c>
    </row>
    <row r="18" spans="3:24" x14ac:dyDescent="0.3">
      <c r="C18" s="5"/>
      <c r="D18" s="6"/>
    </row>
    <row r="19" spans="3:24" x14ac:dyDescent="0.3">
      <c r="C19" s="5" t="s">
        <v>56</v>
      </c>
      <c r="D19" s="6" t="s">
        <v>57</v>
      </c>
      <c r="O19" s="2" t="s">
        <v>58</v>
      </c>
      <c r="X19" s="7" t="s">
        <v>35</v>
      </c>
    </row>
    <row r="20" spans="3:24" x14ac:dyDescent="0.3">
      <c r="C20" s="5"/>
      <c r="D20" s="6"/>
      <c r="O20" t="s">
        <v>59</v>
      </c>
      <c r="X20" t="s">
        <v>60</v>
      </c>
    </row>
    <row r="21" spans="3:24" s="10" customFormat="1" x14ac:dyDescent="0.3">
      <c r="C21" s="8"/>
      <c r="D21" s="9"/>
      <c r="X21" s="10">
        <v>10</v>
      </c>
    </row>
    <row r="22" spans="3:24" x14ac:dyDescent="0.3">
      <c r="C22" s="5" t="s">
        <v>61</v>
      </c>
      <c r="D22" s="6" t="s">
        <v>62</v>
      </c>
      <c r="O22" s="2" t="s">
        <v>63</v>
      </c>
      <c r="X22">
        <v>60</v>
      </c>
    </row>
    <row r="23" spans="3:24" x14ac:dyDescent="0.3">
      <c r="C23" s="5"/>
      <c r="D23" s="6" t="s">
        <v>64</v>
      </c>
    </row>
    <row r="24" spans="3:24" x14ac:dyDescent="0.3">
      <c r="C24" s="5"/>
      <c r="D24" s="6" t="s">
        <v>65</v>
      </c>
      <c r="O24" s="2" t="s">
        <v>66</v>
      </c>
      <c r="X24" t="s">
        <v>67</v>
      </c>
    </row>
    <row r="25" spans="3:24" x14ac:dyDescent="0.3">
      <c r="C25" s="11"/>
      <c r="D25" s="6"/>
    </row>
    <row r="26" spans="3:24" x14ac:dyDescent="0.3">
      <c r="C26" s="5" t="s">
        <v>68</v>
      </c>
      <c r="D26" s="6" t="s">
        <v>69</v>
      </c>
      <c r="X26" t="s">
        <v>70</v>
      </c>
    </row>
    <row r="27" spans="3:24" ht="16.2" thickBot="1" x14ac:dyDescent="0.35">
      <c r="C27" s="12"/>
      <c r="D27" s="13" t="s">
        <v>71</v>
      </c>
      <c r="X27" t="s">
        <v>72</v>
      </c>
    </row>
    <row r="29" spans="3:24" x14ac:dyDescent="0.3">
      <c r="X29" s="14" t="s">
        <v>73</v>
      </c>
    </row>
    <row r="30" spans="3:24" x14ac:dyDescent="0.3">
      <c r="C30" s="50" t="s">
        <v>205</v>
      </c>
      <c r="D30" s="15" t="s">
        <v>74</v>
      </c>
    </row>
    <row r="31" spans="3:24" x14ac:dyDescent="0.3">
      <c r="C31" s="50" t="s">
        <v>206</v>
      </c>
      <c r="D31" s="15" t="s">
        <v>75</v>
      </c>
      <c r="X31" t="s">
        <v>76</v>
      </c>
    </row>
    <row r="32" spans="3:24" x14ac:dyDescent="0.3">
      <c r="C32" s="50" t="s">
        <v>207</v>
      </c>
      <c r="D32" s="15"/>
      <c r="X32" t="s">
        <v>77</v>
      </c>
    </row>
    <row r="33" spans="3:24" x14ac:dyDescent="0.3">
      <c r="C33" s="50" t="s">
        <v>208</v>
      </c>
      <c r="D33" s="15" t="s">
        <v>78</v>
      </c>
    </row>
    <row r="34" spans="3:24" x14ac:dyDescent="0.3">
      <c r="C34" s="50" t="s">
        <v>209</v>
      </c>
      <c r="D34" s="15"/>
      <c r="X34" s="7" t="s">
        <v>63</v>
      </c>
    </row>
    <row r="35" spans="3:24" x14ac:dyDescent="0.3">
      <c r="C35" s="50" t="s">
        <v>210</v>
      </c>
      <c r="X35" t="s">
        <v>79</v>
      </c>
    </row>
    <row r="37" spans="3:24" x14ac:dyDescent="0.3">
      <c r="G37" t="s">
        <v>211</v>
      </c>
    </row>
    <row r="39" spans="3:24" x14ac:dyDescent="0.3">
      <c r="D39" t="s">
        <v>80</v>
      </c>
      <c r="G39" t="s">
        <v>81</v>
      </c>
      <c r="H39" t="s">
        <v>82</v>
      </c>
    </row>
    <row r="40" spans="3:24" x14ac:dyDescent="0.3">
      <c r="D40" s="2" t="s">
        <v>83</v>
      </c>
      <c r="G40" t="s">
        <v>84</v>
      </c>
      <c r="H40" s="1" t="s">
        <v>85</v>
      </c>
      <c r="I40" s="1" t="s">
        <v>86</v>
      </c>
    </row>
    <row r="41" spans="3:24" x14ac:dyDescent="0.3">
      <c r="D41" t="s">
        <v>87</v>
      </c>
      <c r="G41" t="s">
        <v>88</v>
      </c>
      <c r="H41" t="s">
        <v>85</v>
      </c>
      <c r="I41" t="s">
        <v>89</v>
      </c>
    </row>
    <row r="42" spans="3:24" x14ac:dyDescent="0.3">
      <c r="D42" t="s">
        <v>90</v>
      </c>
      <c r="G42" t="s">
        <v>91</v>
      </c>
      <c r="H42" t="s">
        <v>85</v>
      </c>
      <c r="I42" t="s">
        <v>89</v>
      </c>
    </row>
    <row r="43" spans="3:24" x14ac:dyDescent="0.3">
      <c r="D43" s="2" t="s">
        <v>92</v>
      </c>
      <c r="G43" t="s">
        <v>93</v>
      </c>
      <c r="H43" t="s">
        <v>85</v>
      </c>
      <c r="I43" t="s">
        <v>89</v>
      </c>
    </row>
    <row r="44" spans="3:24" x14ac:dyDescent="0.3">
      <c r="D44" s="2" t="s">
        <v>94</v>
      </c>
      <c r="G44" t="s">
        <v>95</v>
      </c>
      <c r="H44" t="s">
        <v>85</v>
      </c>
      <c r="I44" t="s">
        <v>89</v>
      </c>
    </row>
    <row r="45" spans="3:24" x14ac:dyDescent="0.3">
      <c r="G45" t="s">
        <v>95</v>
      </c>
      <c r="H45" t="s">
        <v>85</v>
      </c>
      <c r="I45" t="s">
        <v>89</v>
      </c>
    </row>
    <row r="46" spans="3:24" x14ac:dyDescent="0.3">
      <c r="G46" t="s">
        <v>95</v>
      </c>
      <c r="H46" t="s">
        <v>85</v>
      </c>
      <c r="I46" t="s">
        <v>89</v>
      </c>
    </row>
    <row r="47" spans="3:24" x14ac:dyDescent="0.3">
      <c r="G47" t="s">
        <v>95</v>
      </c>
      <c r="H47" t="s">
        <v>85</v>
      </c>
      <c r="I47" t="s">
        <v>89</v>
      </c>
    </row>
    <row r="48" spans="3:24" x14ac:dyDescent="0.3">
      <c r="G48" t="s">
        <v>95</v>
      </c>
      <c r="H48" t="s">
        <v>85</v>
      </c>
      <c r="I48" t="s">
        <v>89</v>
      </c>
    </row>
    <row r="49" spans="7:9" x14ac:dyDescent="0.3">
      <c r="G49" t="s">
        <v>95</v>
      </c>
      <c r="H49" t="s">
        <v>85</v>
      </c>
      <c r="I49" t="s">
        <v>89</v>
      </c>
    </row>
    <row r="50" spans="7:9" x14ac:dyDescent="0.3">
      <c r="G50" t="s">
        <v>95</v>
      </c>
      <c r="H50" t="s">
        <v>85</v>
      </c>
      <c r="I50" t="s">
        <v>89</v>
      </c>
    </row>
    <row r="51" spans="7:9" x14ac:dyDescent="0.3">
      <c r="G51" t="s">
        <v>95</v>
      </c>
      <c r="H51" t="s">
        <v>85</v>
      </c>
      <c r="I51" t="s">
        <v>89</v>
      </c>
    </row>
    <row r="52" spans="7:9" x14ac:dyDescent="0.3">
      <c r="G52" t="s">
        <v>95</v>
      </c>
      <c r="H52" t="s">
        <v>85</v>
      </c>
      <c r="I52" t="s">
        <v>89</v>
      </c>
    </row>
    <row r="53" spans="7:9" x14ac:dyDescent="0.3">
      <c r="G53" t="s">
        <v>95</v>
      </c>
      <c r="H53" t="s">
        <v>85</v>
      </c>
      <c r="I53" t="s">
        <v>89</v>
      </c>
    </row>
    <row r="54" spans="7:9" x14ac:dyDescent="0.3">
      <c r="G54" t="s">
        <v>95</v>
      </c>
      <c r="H54" t="s">
        <v>85</v>
      </c>
      <c r="I5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74B-2638-2B4D-9ED8-99F71AACB0B9}">
  <dimension ref="C4:I14"/>
  <sheetViews>
    <sheetView workbookViewId="0">
      <selection activeCell="G30" sqref="G30"/>
    </sheetView>
  </sheetViews>
  <sheetFormatPr defaultColWidth="11.19921875" defaultRowHeight="15.6" x14ac:dyDescent="0.3"/>
  <sheetData>
    <row r="4" spans="3:9" x14ac:dyDescent="0.3">
      <c r="C4" s="19" t="s">
        <v>212</v>
      </c>
      <c r="D4" s="19" t="s">
        <v>213</v>
      </c>
      <c r="E4" s="19" t="s">
        <v>214</v>
      </c>
      <c r="F4" s="19" t="s">
        <v>95</v>
      </c>
      <c r="G4" s="19" t="s">
        <v>216</v>
      </c>
      <c r="H4" s="19" t="s">
        <v>217</v>
      </c>
      <c r="I4" s="19" t="s">
        <v>218</v>
      </c>
    </row>
    <row r="5" spans="3:9" x14ac:dyDescent="0.3">
      <c r="C5" s="48">
        <v>498</v>
      </c>
      <c r="D5" s="48">
        <v>569</v>
      </c>
      <c r="E5" s="48">
        <v>433</v>
      </c>
      <c r="F5" s="48">
        <v>112</v>
      </c>
      <c r="G5" s="1">
        <f>COUNTIFS($F$5:$F$14,F5)</f>
        <v>1</v>
      </c>
      <c r="H5" s="1">
        <f>SUMIFS($E$5:$E$14,$E$5:$E$14,E5)</f>
        <v>433</v>
      </c>
    </row>
    <row r="6" spans="3:9" x14ac:dyDescent="0.3">
      <c r="C6" s="48">
        <v>885</v>
      </c>
      <c r="D6" s="48">
        <v>802</v>
      </c>
      <c r="E6" s="48">
        <v>264</v>
      </c>
      <c r="F6" s="48">
        <v>909</v>
      </c>
      <c r="G6">
        <f t="shared" ref="G6:G14" si="0">COUNTIFS($F$5:$F$14,F6)</f>
        <v>1</v>
      </c>
      <c r="H6">
        <v>264</v>
      </c>
    </row>
    <row r="7" spans="3:9" x14ac:dyDescent="0.3">
      <c r="C7" s="48">
        <v>444</v>
      </c>
      <c r="D7" s="48">
        <v>561</v>
      </c>
      <c r="E7" s="48">
        <v>722</v>
      </c>
      <c r="F7" s="51">
        <v>455</v>
      </c>
      <c r="G7">
        <f t="shared" si="0"/>
        <v>1</v>
      </c>
      <c r="H7">
        <v>722</v>
      </c>
    </row>
    <row r="8" spans="3:9" x14ac:dyDescent="0.3">
      <c r="C8" s="48">
        <v>371</v>
      </c>
      <c r="D8" s="48">
        <v>318</v>
      </c>
      <c r="E8" s="48">
        <v>219</v>
      </c>
      <c r="F8" s="48">
        <v>882</v>
      </c>
      <c r="G8">
        <f t="shared" si="0"/>
        <v>1</v>
      </c>
      <c r="H8">
        <v>219</v>
      </c>
    </row>
    <row r="9" spans="3:9" x14ac:dyDescent="0.3">
      <c r="C9" s="48">
        <v>326</v>
      </c>
      <c r="D9" s="48">
        <v>247</v>
      </c>
      <c r="E9" s="48">
        <v>827</v>
      </c>
      <c r="F9" s="48">
        <v>105</v>
      </c>
      <c r="G9">
        <f t="shared" si="0"/>
        <v>1</v>
      </c>
      <c r="H9">
        <v>827</v>
      </c>
    </row>
    <row r="10" spans="3:9" x14ac:dyDescent="0.3">
      <c r="C10" s="48">
        <v>464</v>
      </c>
      <c r="D10" s="51">
        <v>722</v>
      </c>
      <c r="E10" s="48">
        <v>637</v>
      </c>
      <c r="F10" s="48">
        <v>896</v>
      </c>
      <c r="G10">
        <f t="shared" si="0"/>
        <v>1</v>
      </c>
      <c r="H10">
        <v>637</v>
      </c>
    </row>
    <row r="11" spans="3:9" x14ac:dyDescent="0.3">
      <c r="C11" s="48">
        <v>116</v>
      </c>
      <c r="D11" s="48">
        <v>993</v>
      </c>
      <c r="E11" s="48">
        <v>268</v>
      </c>
      <c r="F11" s="48">
        <v>473</v>
      </c>
      <c r="G11">
        <f t="shared" si="0"/>
        <v>1</v>
      </c>
      <c r="H11">
        <v>268</v>
      </c>
    </row>
    <row r="12" spans="3:9" x14ac:dyDescent="0.3">
      <c r="C12" s="48">
        <v>586</v>
      </c>
      <c r="D12" s="48">
        <v>548</v>
      </c>
      <c r="E12" s="48">
        <v>36</v>
      </c>
      <c r="F12" s="48">
        <v>143</v>
      </c>
      <c r="G12">
        <f t="shared" si="0"/>
        <v>1</v>
      </c>
      <c r="H12">
        <v>36</v>
      </c>
    </row>
    <row r="13" spans="3:9" x14ac:dyDescent="0.3">
      <c r="C13" s="48">
        <v>688</v>
      </c>
      <c r="D13" s="48">
        <v>566</v>
      </c>
      <c r="E13" s="48">
        <v>885</v>
      </c>
      <c r="F13" s="48">
        <v>589</v>
      </c>
      <c r="G13">
        <f t="shared" si="0"/>
        <v>1</v>
      </c>
      <c r="H13">
        <v>885</v>
      </c>
    </row>
    <row r="14" spans="3:9" x14ac:dyDescent="0.3">
      <c r="C14" s="48">
        <v>701</v>
      </c>
      <c r="D14" s="48">
        <v>584</v>
      </c>
      <c r="E14" s="48">
        <v>701</v>
      </c>
      <c r="F14" s="48">
        <v>923</v>
      </c>
      <c r="G14">
        <f t="shared" si="0"/>
        <v>1</v>
      </c>
      <c r="H14">
        <v>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7E66-4A84-7E44-896E-62A28A294DFE}">
  <dimension ref="C2:H17"/>
  <sheetViews>
    <sheetView zoomScale="88" zoomScaleNormal="88" workbookViewId="0">
      <selection activeCell="D19" sqref="D19"/>
    </sheetView>
  </sheetViews>
  <sheetFormatPr defaultColWidth="11.19921875" defaultRowHeight="15.6" x14ac:dyDescent="0.3"/>
  <cols>
    <col min="3" max="3" width="55.19921875" customWidth="1"/>
  </cols>
  <sheetData>
    <row r="2" spans="3:8" x14ac:dyDescent="0.3">
      <c r="C2" s="7" t="s">
        <v>29</v>
      </c>
    </row>
    <row r="3" spans="3:8" x14ac:dyDescent="0.3">
      <c r="F3" t="s">
        <v>219</v>
      </c>
    </row>
    <row r="4" spans="3:8" x14ac:dyDescent="0.3">
      <c r="C4" t="s">
        <v>202</v>
      </c>
    </row>
    <row r="5" spans="3:8" x14ac:dyDescent="0.3">
      <c r="F5" t="s">
        <v>220</v>
      </c>
    </row>
    <row r="6" spans="3:8" x14ac:dyDescent="0.3">
      <c r="C6" t="s">
        <v>203</v>
      </c>
    </row>
    <row r="7" spans="3:8" x14ac:dyDescent="0.3">
      <c r="F7" t="s">
        <v>221</v>
      </c>
    </row>
    <row r="8" spans="3:8" x14ac:dyDescent="0.3">
      <c r="C8" t="s">
        <v>204</v>
      </c>
    </row>
    <row r="9" spans="3:8" x14ac:dyDescent="0.3">
      <c r="F9" t="s">
        <v>123</v>
      </c>
    </row>
    <row r="10" spans="3:8" x14ac:dyDescent="0.3">
      <c r="H10" t="s">
        <v>225</v>
      </c>
    </row>
    <row r="11" spans="3:8" x14ac:dyDescent="0.3">
      <c r="F11" t="s">
        <v>222</v>
      </c>
    </row>
    <row r="12" spans="3:8" x14ac:dyDescent="0.3">
      <c r="H12" t="s">
        <v>226</v>
      </c>
    </row>
    <row r="13" spans="3:8" x14ac:dyDescent="0.3">
      <c r="F13" t="s">
        <v>223</v>
      </c>
    </row>
    <row r="15" spans="3:8" x14ac:dyDescent="0.3">
      <c r="F15" t="s">
        <v>90</v>
      </c>
    </row>
    <row r="17" spans="6:6" x14ac:dyDescent="0.3">
      <c r="F17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9821-5B96-BB44-B70B-A721B3308801}">
  <dimension ref="A1:G14"/>
  <sheetViews>
    <sheetView tabSelected="1" workbookViewId="0">
      <selection activeCell="I17" sqref="I17"/>
    </sheetView>
  </sheetViews>
  <sheetFormatPr defaultColWidth="11.19921875" defaultRowHeight="15.6" x14ac:dyDescent="0.3"/>
  <sheetData>
    <row r="1" spans="1:7" x14ac:dyDescent="0.3">
      <c r="A1" t="s">
        <v>215</v>
      </c>
    </row>
    <row r="4" spans="1:7" x14ac:dyDescent="0.3">
      <c r="D4" s="19" t="s">
        <v>212</v>
      </c>
      <c r="E4" s="19" t="s">
        <v>213</v>
      </c>
      <c r="F4" s="19" t="s">
        <v>214</v>
      </c>
      <c r="G4" s="19" t="s">
        <v>95</v>
      </c>
    </row>
    <row r="5" spans="1:7" x14ac:dyDescent="0.3">
      <c r="D5" s="48">
        <v>498</v>
      </c>
      <c r="E5" s="48">
        <v>569</v>
      </c>
      <c r="F5" s="48">
        <v>433</v>
      </c>
      <c r="G5" s="48">
        <v>112</v>
      </c>
    </row>
    <row r="6" spans="1:7" x14ac:dyDescent="0.3">
      <c r="D6" s="48">
        <v>885</v>
      </c>
      <c r="E6" s="48">
        <v>802</v>
      </c>
      <c r="F6" s="48">
        <v>264</v>
      </c>
      <c r="G6" s="48">
        <v>909</v>
      </c>
    </row>
    <row r="7" spans="1:7" x14ac:dyDescent="0.3">
      <c r="D7" s="48">
        <v>444</v>
      </c>
      <c r="E7" s="48">
        <v>561</v>
      </c>
      <c r="F7" s="48">
        <v>722</v>
      </c>
      <c r="G7" s="51">
        <v>455</v>
      </c>
    </row>
    <row r="8" spans="1:7" x14ac:dyDescent="0.3">
      <c r="D8" s="48">
        <v>371</v>
      </c>
      <c r="E8" s="48">
        <v>318</v>
      </c>
      <c r="F8" s="48">
        <v>219</v>
      </c>
      <c r="G8" s="48">
        <v>882</v>
      </c>
    </row>
    <row r="9" spans="1:7" x14ac:dyDescent="0.3">
      <c r="D9" s="48">
        <v>326</v>
      </c>
      <c r="E9" s="48">
        <v>247</v>
      </c>
      <c r="F9" s="48">
        <v>827</v>
      </c>
      <c r="G9" s="48">
        <v>105</v>
      </c>
    </row>
    <row r="10" spans="1:7" x14ac:dyDescent="0.3">
      <c r="D10" s="48">
        <v>464</v>
      </c>
      <c r="E10" s="51">
        <v>722</v>
      </c>
      <c r="F10" s="48">
        <v>637</v>
      </c>
      <c r="G10" s="48">
        <v>896</v>
      </c>
    </row>
    <row r="11" spans="1:7" x14ac:dyDescent="0.3">
      <c r="D11" s="48">
        <v>116</v>
      </c>
      <c r="E11" s="48">
        <v>993</v>
      </c>
      <c r="F11" s="48">
        <v>268</v>
      </c>
      <c r="G11" s="48">
        <v>473</v>
      </c>
    </row>
    <row r="12" spans="1:7" x14ac:dyDescent="0.3">
      <c r="D12" s="48">
        <v>586</v>
      </c>
      <c r="E12" s="48">
        <v>548</v>
      </c>
      <c r="F12" s="48">
        <v>36</v>
      </c>
      <c r="G12" s="48">
        <v>143</v>
      </c>
    </row>
    <row r="13" spans="1:7" x14ac:dyDescent="0.3">
      <c r="D13" s="48">
        <v>688</v>
      </c>
      <c r="E13" s="48">
        <v>566</v>
      </c>
      <c r="F13" s="48">
        <v>885</v>
      </c>
      <c r="G13" s="48">
        <v>589</v>
      </c>
    </row>
    <row r="14" spans="1:7" x14ac:dyDescent="0.3">
      <c r="D14" s="48">
        <v>701</v>
      </c>
      <c r="E14" s="48">
        <v>584</v>
      </c>
      <c r="F14" s="48">
        <v>701</v>
      </c>
      <c r="G14" s="48">
        <v>923</v>
      </c>
    </row>
  </sheetData>
  <sheetProtection algorithmName="SHA-512" hashValue="kW98/qPoW55aulCrPZk0GljnmafPpbkO/YZkpRIDeRddXuH2omV3qvxC8ME+nN10WW5ihTKKcHGzhi2SXWIF8g==" saltValue="lvoU9lJwmbEw1h46TYPHO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Lifecycle </vt:lpstr>
      <vt:lpstr>Objective</vt:lpstr>
      <vt:lpstr>Hygiene</vt:lpstr>
      <vt:lpstr>Main Data</vt:lpstr>
      <vt:lpstr>Notes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Jain</dc:creator>
  <cp:lastModifiedBy>Shubham Bhatt</cp:lastModifiedBy>
  <dcterms:created xsi:type="dcterms:W3CDTF">2024-09-19T15:28:00Z</dcterms:created>
  <dcterms:modified xsi:type="dcterms:W3CDTF">2024-11-17T07:28:30Z</dcterms:modified>
</cp:coreProperties>
</file>